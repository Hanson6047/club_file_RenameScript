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<sst xmlns="http://schemas.openxmlformats.org/spreadsheetml/2006/main" count="117" uniqueCount="76">
  <si>
    <t>營地 / 時間</t>
  </si>
  <si>
    <t>種類</t>
  </si>
  <si>
    <t>菜單</t>
  </si>
  <si>
    <t>主食</t>
  </si>
  <si>
    <t>蛋白質</t>
  </si>
  <si>
    <t>蔬菜</t>
  </si>
  <si>
    <t>湯水</t>
  </si>
  <si>
    <t>佐料</t>
  </si>
  <si>
    <t>用水 ( L</t>
  </si>
  <si>
    <t>C1_2/11
自備</t>
  </si>
  <si>
    <t>D1晚</t>
  </si>
  <si>
    <t>主</t>
  </si>
  <si>
    <t>乾拌麵</t>
  </si>
  <si>
    <t>銀絲麵</t>
  </si>
  <si>
    <t>-</t>
  </si>
  <si>
    <t>配</t>
  </si>
  <si>
    <t>肉鬆</t>
  </si>
  <si>
    <t>肉鬆-2湯匙*2</t>
  </si>
  <si>
    <t>湯</t>
  </si>
  <si>
    <t>蘋果</t>
  </si>
  <si>
    <t>蘋果(1顆)*2</t>
  </si>
  <si>
    <t>D2早</t>
  </si>
  <si>
    <t>吐司</t>
  </si>
  <si>
    <t>飲</t>
  </si>
  <si>
    <t>C2_2/12
溪水</t>
  </si>
  <si>
    <t>D2晚</t>
  </si>
  <si>
    <t>咖哩牛(調理包)</t>
  </si>
  <si>
    <t>白飯</t>
  </si>
  <si>
    <t>胡蘿蔔丁半根)、馬鈴薯丁(1顆)</t>
  </si>
  <si>
    <t>鹽/油/</t>
  </si>
  <si>
    <t>南瓜農湯</t>
  </si>
  <si>
    <t>康寶南瓜農湯</t>
  </si>
  <si>
    <t>胡椒</t>
  </si>
  <si>
    <t>D3早</t>
  </si>
  <si>
    <t>吐司一片*2</t>
  </si>
  <si>
    <t>預備糧</t>
  </si>
  <si>
    <t>米0.25kg</t>
  </si>
  <si>
    <t>食材清點</t>
  </si>
  <si>
    <t>C1</t>
  </si>
  <si>
    <t>C2</t>
  </si>
  <si>
    <t>C3</t>
  </si>
  <si>
    <t>C4</t>
  </si>
  <si>
    <t>備用糧</t>
  </si>
  <si>
    <t>g</t>
  </si>
  <si>
    <t>攜帶者</t>
  </si>
  <si>
    <t>主食估計</t>
  </si>
  <si>
    <t xml:space="preserve">麵 </t>
  </si>
  <si>
    <t>2束</t>
  </si>
  <si>
    <t>(貞霓)</t>
  </si>
  <si>
    <t>米</t>
  </si>
  <si>
    <t>4份</t>
  </si>
  <si>
    <t>（永成）</t>
  </si>
  <si>
    <t>食材</t>
  </si>
  <si>
    <t>9湯匙</t>
  </si>
  <si>
    <t>×4</t>
  </si>
  <si>
    <t>湯包</t>
  </si>
  <si>
    <t xml:space="preserve">2包 </t>
  </si>
  <si>
    <t xml:space="preserve">六片 </t>
  </si>
  <si>
    <t xml:space="preserve">雞蛋 </t>
  </si>
  <si>
    <t>5顆 油封</t>
  </si>
  <si>
    <t>馬鈴薯</t>
  </si>
  <si>
    <t>一顆，預計200g</t>
  </si>
  <si>
    <t>胡蘿蔔</t>
  </si>
  <si>
    <t>半根，預計200g</t>
  </si>
  <si>
    <t>調理包</t>
  </si>
  <si>
    <t>醬料</t>
  </si>
  <si>
    <t xml:space="preserve">1包 </t>
  </si>
  <si>
    <t>總重</t>
  </si>
  <si>
    <t>重量估計</t>
  </si>
  <si>
    <t>水</t>
  </si>
  <si>
    <t>用水估計</t>
  </si>
  <si>
    <t>D1晚：0.4L
D2早：0.2L
D2晚： 1 L
D3早：0.2L</t>
  </si>
  <si>
    <t>D1出發重量約—</t>
  </si>
  <si>
    <t>1500/人/不缺水</t>
  </si>
  <si>
    <t>D2出發重量約—</t>
  </si>
  <si>
    <t>D3出發重量約—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</si>
</sst>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000000"/>
      <name val="&quot;Times New Roman&quot;"/>
    </font>
    <font/>
    <font>
      <color theme="1"/>
      <name val="Arial"/>
      <scheme val="minor"/>
    </font>
    <font>
      <sz val="12.0"/>
      <color rgb="FF000000"/>
      <name val="&quot;Times New Roman&quot;"/>
    </font>
    <font>
      <sz val="12.0"/>
      <color theme="1"/>
      <name val="Times New Roman"/>
    </font>
    <font>
      <color theme="1"/>
      <name val="Arial"/>
    </font>
    <font>
      <color rgb="FF999999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left" shrinkToFit="0" wrapText="1"/>
    </xf>
    <xf borderId="4" fillId="0" fontId="3" numFmtId="0" xfId="0" applyBorder="1" applyFont="1"/>
    <xf borderId="5" fillId="0" fontId="2" numFmtId="0" xfId="0" applyBorder="1" applyFont="1"/>
    <xf borderId="5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6" fillId="0" fontId="2" numFmtId="0" xfId="0" applyBorder="1" applyFont="1"/>
    <xf borderId="6" fillId="0" fontId="1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7" fillId="0" fontId="1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center" shrinkToFit="0" vertical="bottom" wrapText="1"/>
    </xf>
    <xf borderId="11" fillId="0" fontId="5" numFmtId="0" xfId="0" applyAlignment="1" applyBorder="1" applyFont="1">
      <alignment horizontal="center" shrinkToFit="0" vertical="bottom" wrapText="1"/>
    </xf>
    <xf borderId="12" fillId="0" fontId="2" numFmtId="0" xfId="0" applyBorder="1" applyFont="1"/>
    <xf borderId="13" fillId="0" fontId="2" numFmtId="0" xfId="0" applyBorder="1" applyFont="1"/>
    <xf borderId="3" fillId="0" fontId="3" numFmtId="0" xfId="0" applyBorder="1" applyFont="1"/>
    <xf borderId="3" fillId="0" fontId="6" numFmtId="0" xfId="0" applyAlignment="1" applyBorder="1" applyFont="1">
      <alignment vertical="bottom"/>
    </xf>
    <xf borderId="3" fillId="0" fontId="7" numFmtId="0" xfId="0" applyAlignment="1" applyBorder="1" applyFont="1">
      <alignment readingOrder="0"/>
    </xf>
    <xf borderId="3" fillId="0" fontId="6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0" fillId="0" fontId="3" numFmtId="0" xfId="0" applyFont="1"/>
    <xf borderId="3" fillId="0" fontId="6" numFmtId="0" xfId="0" applyAlignment="1" applyBorder="1" applyFont="1">
      <alignment horizontal="right" vertical="bottom"/>
    </xf>
    <xf borderId="4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center" readingOrder="0"/>
    </xf>
    <xf borderId="7" fillId="0" fontId="2" numFmtId="0" xfId="0" applyBorder="1" applyFont="1"/>
    <xf borderId="9" fillId="0" fontId="2" numFmtId="0" xfId="0" applyBorder="1" applyFont="1"/>
    <xf borderId="4" fillId="0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horizontal="right" vertical="bottom"/>
    </xf>
    <xf borderId="8" fillId="0" fontId="6" numFmtId="0" xfId="0" applyAlignment="1" applyBorder="1" applyFont="1">
      <alignment horizontal="center" vertical="bottom"/>
    </xf>
    <xf borderId="10" fillId="0" fontId="3" numFmtId="0" xfId="0" applyAlignment="1" applyBorder="1" applyFont="1">
      <alignment readingOrder="0"/>
    </xf>
    <xf borderId="10" fillId="0" fontId="8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/>
    </xf>
    <xf borderId="5" fillId="0" fontId="8" numFmtId="0" xfId="0" applyAlignment="1" applyBorder="1" applyFont="1">
      <alignment horizontal="center" readingOrder="0" shrinkToFit="0" vertical="bottom" wrapText="1"/>
    </xf>
    <xf borderId="14" fillId="0" fontId="8" numFmtId="0" xfId="0" applyAlignment="1" applyBorder="1" applyFont="1">
      <alignment horizontal="center" readingOrder="0" shrinkToFit="0" vertical="bottom" wrapText="1"/>
    </xf>
    <xf borderId="15" fillId="0" fontId="2" numFmtId="0" xfId="0" applyBorder="1" applyFont="1"/>
    <xf borderId="1" fillId="0" fontId="8" numFmtId="0" xfId="0" applyAlignment="1" applyBorder="1" applyFont="1">
      <alignment horizontal="center" readingOrder="0" shrinkToFit="0" vertical="bottom" wrapText="1"/>
    </xf>
    <xf borderId="10" fillId="0" fontId="2" numFmtId="0" xfId="0" applyBorder="1" applyFont="1"/>
    <xf borderId="14" fillId="0" fontId="2" numFmtId="0" xfId="0" applyBorder="1" applyFont="1"/>
    <xf borderId="1" fillId="0" fontId="3" numFmtId="0" xfId="0" applyAlignment="1" applyBorder="1" applyFont="1">
      <alignment readingOrder="0"/>
    </xf>
    <xf borderId="3" fillId="0" fontId="3" numFmtId="1" xfId="0" applyBorder="1" applyFont="1" applyNumberForma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7.13"/>
    <col customWidth="1" min="3" max="3" width="5.5"/>
    <col customWidth="1" min="8" max="8" width="7.5"/>
    <col customWidth="1" min="9" max="9" width="8.13"/>
    <col customWidth="1" min="10" max="10" width="7.63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>
      <c r="A2" s="5" t="s">
        <v>9</v>
      </c>
      <c r="B2" s="5" t="s">
        <v>10</v>
      </c>
      <c r="C2" s="3" t="s">
        <v>11</v>
      </c>
      <c r="D2" s="3" t="s">
        <v>12</v>
      </c>
      <c r="E2" s="5" t="s">
        <v>13</v>
      </c>
      <c r="F2" s="6"/>
      <c r="G2" s="6"/>
      <c r="H2" s="3">
        <v>300.0</v>
      </c>
      <c r="I2" s="3" t="s">
        <v>14</v>
      </c>
      <c r="J2" s="7">
        <f>sum(H2:H4)/1000</f>
        <v>0.4</v>
      </c>
    </row>
    <row r="3">
      <c r="A3" s="8"/>
      <c r="B3" s="8"/>
      <c r="C3" s="3" t="s">
        <v>15</v>
      </c>
      <c r="D3" s="3" t="s">
        <v>16</v>
      </c>
      <c r="E3" s="9"/>
      <c r="F3" s="10" t="s">
        <v>17</v>
      </c>
      <c r="G3" s="3" t="s">
        <v>14</v>
      </c>
      <c r="H3" s="3">
        <v>100.0</v>
      </c>
      <c r="I3" s="3" t="s">
        <v>14</v>
      </c>
      <c r="J3" s="8"/>
    </row>
    <row r="4">
      <c r="A4" s="8"/>
      <c r="B4" s="11"/>
      <c r="C4" s="3" t="s">
        <v>18</v>
      </c>
      <c r="D4" s="3" t="s">
        <v>19</v>
      </c>
      <c r="E4" s="12"/>
      <c r="F4" s="3" t="s">
        <v>14</v>
      </c>
      <c r="G4" s="3" t="s">
        <v>20</v>
      </c>
      <c r="H4" s="6"/>
      <c r="I4" s="3" t="s">
        <v>14</v>
      </c>
      <c r="J4" s="11"/>
    </row>
    <row r="5">
      <c r="A5" s="8"/>
      <c r="B5" s="5" t="s">
        <v>21</v>
      </c>
      <c r="C5" s="3" t="s">
        <v>11</v>
      </c>
      <c r="D5" s="3" t="s">
        <v>22</v>
      </c>
      <c r="E5" s="6"/>
      <c r="F5" s="3" t="s">
        <v>14</v>
      </c>
      <c r="G5" s="3" t="s">
        <v>14</v>
      </c>
      <c r="H5" s="3">
        <v>200.0</v>
      </c>
      <c r="I5" s="3" t="s">
        <v>14</v>
      </c>
      <c r="J5" s="7">
        <f>sum(H5:H6)/1000</f>
        <v>0.2</v>
      </c>
    </row>
    <row r="6">
      <c r="A6" s="11"/>
      <c r="B6" s="11"/>
      <c r="C6" s="3" t="s">
        <v>23</v>
      </c>
      <c r="D6" s="6"/>
      <c r="E6" s="6"/>
      <c r="F6" s="3" t="s">
        <v>14</v>
      </c>
      <c r="G6" s="3" t="s">
        <v>14</v>
      </c>
      <c r="H6" s="6"/>
      <c r="I6" s="3" t="s">
        <v>14</v>
      </c>
      <c r="J6" s="11"/>
    </row>
    <row r="7">
      <c r="A7" s="5" t="s">
        <v>24</v>
      </c>
      <c r="B7" s="5" t="s">
        <v>25</v>
      </c>
      <c r="C7" s="3" t="s">
        <v>11</v>
      </c>
      <c r="D7" s="13" t="s">
        <v>26</v>
      </c>
      <c r="E7" s="13" t="s">
        <v>27</v>
      </c>
      <c r="F7" s="6"/>
      <c r="G7" s="13" t="s">
        <v>28</v>
      </c>
      <c r="H7" s="13">
        <v>500.0</v>
      </c>
      <c r="I7" s="13" t="s">
        <v>29</v>
      </c>
      <c r="J7" s="7">
        <f>sum(H7:H9)/1000</f>
        <v>1</v>
      </c>
    </row>
    <row r="8">
      <c r="A8" s="8"/>
      <c r="B8" s="8"/>
      <c r="C8" s="3" t="s">
        <v>15</v>
      </c>
      <c r="D8" s="3" t="s">
        <v>19</v>
      </c>
      <c r="E8" s="14" t="s">
        <v>14</v>
      </c>
      <c r="F8" s="14" t="s">
        <v>14</v>
      </c>
      <c r="G8" s="14" t="s">
        <v>20</v>
      </c>
      <c r="H8" s="14" t="s">
        <v>14</v>
      </c>
      <c r="I8" s="14" t="s">
        <v>14</v>
      </c>
      <c r="J8" s="8"/>
    </row>
    <row r="9">
      <c r="A9" s="8"/>
      <c r="B9" s="11"/>
      <c r="C9" s="3" t="s">
        <v>18</v>
      </c>
      <c r="D9" s="3" t="s">
        <v>30</v>
      </c>
      <c r="E9" s="3" t="s">
        <v>31</v>
      </c>
      <c r="F9" s="6"/>
      <c r="G9" s="6"/>
      <c r="H9" s="14">
        <v>500.0</v>
      </c>
      <c r="I9" s="14" t="s">
        <v>32</v>
      </c>
      <c r="J9" s="11"/>
    </row>
    <row r="10">
      <c r="A10" s="8"/>
      <c r="B10" s="5" t="s">
        <v>33</v>
      </c>
      <c r="C10" s="3" t="s">
        <v>11</v>
      </c>
      <c r="D10" s="3" t="s">
        <v>22</v>
      </c>
      <c r="E10" s="3" t="s">
        <v>34</v>
      </c>
      <c r="F10" s="6"/>
      <c r="G10" s="14" t="s">
        <v>14</v>
      </c>
      <c r="H10" s="14">
        <v>200.0</v>
      </c>
      <c r="I10" s="6"/>
      <c r="J10" s="7">
        <f>sum(H10:H11)/1000</f>
        <v>0.2</v>
      </c>
    </row>
    <row r="11">
      <c r="A11" s="11"/>
      <c r="B11" s="11"/>
      <c r="C11" s="3" t="s">
        <v>23</v>
      </c>
      <c r="D11" s="6"/>
      <c r="E11" s="6"/>
      <c r="F11" s="6"/>
      <c r="G11" s="6"/>
      <c r="H11" s="6"/>
      <c r="I11" s="6"/>
      <c r="J11" s="11"/>
    </row>
    <row r="12">
      <c r="A12" s="5" t="s">
        <v>35</v>
      </c>
      <c r="C12" s="15"/>
      <c r="D12" s="15"/>
      <c r="E12" s="16" t="s">
        <v>36</v>
      </c>
      <c r="F12" s="15"/>
      <c r="G12" s="15"/>
      <c r="H12" s="15"/>
      <c r="I12" s="17"/>
      <c r="J12" s="7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>
      <c r="A14" s="19" t="s">
        <v>37</v>
      </c>
      <c r="B14" s="20"/>
      <c r="C14" s="20"/>
      <c r="D14" s="20"/>
      <c r="E14" s="20"/>
      <c r="F14" s="20"/>
      <c r="G14" s="20"/>
      <c r="H14" s="20"/>
      <c r="I14" s="20"/>
      <c r="J14" s="21"/>
    </row>
    <row r="15">
      <c r="A15" s="22"/>
      <c r="B15" s="23"/>
      <c r="C15" s="23"/>
      <c r="D15" s="23" t="s">
        <v>38</v>
      </c>
      <c r="E15" s="23" t="s">
        <v>39</v>
      </c>
      <c r="F15" s="24" t="s">
        <v>40</v>
      </c>
      <c r="G15" s="24" t="s">
        <v>41</v>
      </c>
      <c r="H15" s="25" t="s">
        <v>42</v>
      </c>
      <c r="I15" s="23" t="s">
        <v>43</v>
      </c>
      <c r="J15" s="25" t="s">
        <v>44</v>
      </c>
    </row>
    <row r="16">
      <c r="A16" s="26" t="s">
        <v>45</v>
      </c>
      <c r="B16" s="27" t="s">
        <v>46</v>
      </c>
      <c r="C16" s="27" t="s">
        <v>47</v>
      </c>
      <c r="D16" s="28">
        <v>160.0</v>
      </c>
      <c r="E16" s="27"/>
      <c r="F16" s="22"/>
      <c r="G16" s="22"/>
      <c r="H16" s="27"/>
      <c r="I16" s="28">
        <f t="shared" ref="I16:I26" si="1">SUM(D16:H16)</f>
        <v>160</v>
      </c>
      <c r="J16" s="27" t="s">
        <v>48</v>
      </c>
      <c r="L16" s="29">
        <f>SUM(I16:I22)-450</f>
        <v>1520</v>
      </c>
    </row>
    <row r="17">
      <c r="A17" s="11"/>
      <c r="B17" s="23" t="s">
        <v>49</v>
      </c>
      <c r="C17" s="23" t="s">
        <v>50</v>
      </c>
      <c r="D17" s="23"/>
      <c r="E17" s="30">
        <v>200.0</v>
      </c>
      <c r="F17" s="4" t="s">
        <v>14</v>
      </c>
      <c r="G17" s="22"/>
      <c r="H17" s="28">
        <v>250.0</v>
      </c>
      <c r="I17" s="28">
        <f t="shared" si="1"/>
        <v>450</v>
      </c>
      <c r="J17" s="27" t="s">
        <v>51</v>
      </c>
    </row>
    <row r="18">
      <c r="A18" s="31" t="s">
        <v>52</v>
      </c>
      <c r="B18" s="23" t="s">
        <v>16</v>
      </c>
      <c r="C18" s="23" t="s">
        <v>53</v>
      </c>
      <c r="D18" s="30">
        <v>50.0</v>
      </c>
      <c r="E18" s="30">
        <v>50.0</v>
      </c>
      <c r="F18" s="22"/>
      <c r="G18" s="22"/>
      <c r="H18" s="23"/>
      <c r="I18" s="30">
        <f t="shared" si="1"/>
        <v>100</v>
      </c>
      <c r="J18" s="23" t="s">
        <v>48</v>
      </c>
    </row>
    <row r="19">
      <c r="A19" s="8"/>
      <c r="B19" s="23" t="s">
        <v>19</v>
      </c>
      <c r="C19" s="23" t="s">
        <v>54</v>
      </c>
      <c r="D19" s="30">
        <v>315.0</v>
      </c>
      <c r="E19" s="30">
        <v>315.0</v>
      </c>
      <c r="F19" s="22"/>
      <c r="G19" s="22"/>
      <c r="H19" s="23"/>
      <c r="I19" s="30">
        <f t="shared" si="1"/>
        <v>630</v>
      </c>
      <c r="J19" s="23" t="s">
        <v>48</v>
      </c>
    </row>
    <row r="20">
      <c r="A20" s="8"/>
      <c r="B20" s="27" t="s">
        <v>55</v>
      </c>
      <c r="C20" s="27" t="s">
        <v>56</v>
      </c>
      <c r="D20" s="27"/>
      <c r="E20" s="28">
        <v>40.0</v>
      </c>
      <c r="F20" s="22"/>
      <c r="G20" s="22"/>
      <c r="H20" s="27"/>
      <c r="I20" s="28">
        <f t="shared" si="1"/>
        <v>40</v>
      </c>
      <c r="J20" s="27" t="s">
        <v>48</v>
      </c>
    </row>
    <row r="21">
      <c r="A21" s="8"/>
      <c r="B21" s="27" t="s">
        <v>22</v>
      </c>
      <c r="C21" s="27" t="s">
        <v>57</v>
      </c>
      <c r="D21" s="28">
        <v>110.0</v>
      </c>
      <c r="E21" s="28">
        <v>110.0</v>
      </c>
      <c r="F21" s="22"/>
      <c r="G21" s="22"/>
      <c r="H21" s="28">
        <v>110.0</v>
      </c>
      <c r="I21" s="28">
        <f t="shared" si="1"/>
        <v>330</v>
      </c>
      <c r="J21" s="27" t="s">
        <v>48</v>
      </c>
    </row>
    <row r="22">
      <c r="A22" s="8"/>
      <c r="B22" s="23" t="s">
        <v>58</v>
      </c>
      <c r="C22" s="23" t="s">
        <v>59</v>
      </c>
      <c r="D22" s="30">
        <v>130.0</v>
      </c>
      <c r="E22" s="30">
        <v>130.0</v>
      </c>
      <c r="F22" s="22"/>
      <c r="G22" s="22"/>
      <c r="H22" s="27"/>
      <c r="I22" s="28">
        <f t="shared" si="1"/>
        <v>260</v>
      </c>
      <c r="J22" s="27" t="s">
        <v>48</v>
      </c>
    </row>
    <row r="23">
      <c r="A23" s="8"/>
      <c r="B23" s="23" t="s">
        <v>60</v>
      </c>
      <c r="C23" s="23" t="s">
        <v>61</v>
      </c>
      <c r="D23" s="23"/>
      <c r="E23" s="30">
        <v>200.0</v>
      </c>
      <c r="F23" s="22"/>
      <c r="G23" s="22"/>
      <c r="H23" s="27"/>
      <c r="I23" s="28">
        <f t="shared" si="1"/>
        <v>200</v>
      </c>
      <c r="J23" s="27" t="s">
        <v>51</v>
      </c>
    </row>
    <row r="24">
      <c r="A24" s="8"/>
      <c r="B24" s="23" t="s">
        <v>62</v>
      </c>
      <c r="C24" s="23" t="s">
        <v>63</v>
      </c>
      <c r="D24" s="23"/>
      <c r="E24" s="30">
        <v>200.0</v>
      </c>
      <c r="F24" s="22"/>
      <c r="G24" s="22"/>
      <c r="H24" s="27"/>
      <c r="I24" s="28">
        <f t="shared" si="1"/>
        <v>200</v>
      </c>
      <c r="J24" s="27" t="s">
        <v>51</v>
      </c>
    </row>
    <row r="25">
      <c r="A25" s="8"/>
      <c r="B25" s="23" t="s">
        <v>64</v>
      </c>
      <c r="C25" s="23" t="s">
        <v>56</v>
      </c>
      <c r="D25" s="23"/>
      <c r="E25" s="30">
        <v>400.0</v>
      </c>
      <c r="F25" s="22"/>
      <c r="G25" s="22"/>
      <c r="H25" s="27"/>
      <c r="I25" s="28">
        <f t="shared" si="1"/>
        <v>400</v>
      </c>
      <c r="J25" s="27" t="s">
        <v>51</v>
      </c>
    </row>
    <row r="26">
      <c r="A26" s="11"/>
      <c r="B26" s="23" t="s">
        <v>65</v>
      </c>
      <c r="C26" s="23" t="s">
        <v>66</v>
      </c>
      <c r="D26" s="30">
        <v>50.0</v>
      </c>
      <c r="E26" s="30">
        <v>50.0</v>
      </c>
      <c r="F26" s="22"/>
      <c r="G26" s="22"/>
      <c r="H26" s="27"/>
      <c r="I26" s="28">
        <f t="shared" si="1"/>
        <v>100</v>
      </c>
      <c r="J26" s="27" t="s">
        <v>51</v>
      </c>
    </row>
    <row r="27">
      <c r="A27" s="32" t="s">
        <v>67</v>
      </c>
      <c r="B27" s="33"/>
      <c r="C27" s="34"/>
      <c r="D27" s="35">
        <f t="shared" ref="D27:E27" si="2">SUM(D18:D26)</f>
        <v>655</v>
      </c>
      <c r="E27" s="35">
        <f t="shared" si="2"/>
        <v>1495</v>
      </c>
      <c r="F27" s="22"/>
      <c r="G27" s="7"/>
      <c r="H27" s="36">
        <f t="shared" ref="H27:I27" si="3">SUM(H18:H26)</f>
        <v>110</v>
      </c>
      <c r="I27" s="37">
        <f t="shared" si="3"/>
        <v>2260</v>
      </c>
      <c r="J27" s="34"/>
    </row>
    <row r="28">
      <c r="A28" s="18"/>
      <c r="B28" s="18"/>
      <c r="C28" s="18"/>
      <c r="D28" s="18"/>
      <c r="E28" s="38"/>
      <c r="F28" s="38"/>
      <c r="G28" s="39"/>
      <c r="H28" s="39"/>
      <c r="I28" s="39"/>
      <c r="J28" s="39"/>
    </row>
    <row r="29">
      <c r="A29" s="19" t="s">
        <v>68</v>
      </c>
      <c r="B29" s="20"/>
      <c r="C29" s="20"/>
      <c r="D29" s="21"/>
      <c r="E29" s="40" t="s">
        <v>52</v>
      </c>
      <c r="F29" s="40" t="s">
        <v>69</v>
      </c>
      <c r="G29" s="41" t="s">
        <v>70</v>
      </c>
      <c r="H29" s="42" t="s">
        <v>71</v>
      </c>
      <c r="J29" s="43"/>
    </row>
    <row r="30" ht="19.5" customHeight="1">
      <c r="A30" s="44"/>
      <c r="B30" s="45"/>
      <c r="C30" s="45"/>
      <c r="D30" s="2"/>
      <c r="E30" s="22"/>
      <c r="F30" s="22"/>
      <c r="G30" s="8"/>
      <c r="H30" s="46"/>
      <c r="J30" s="43"/>
    </row>
    <row r="31">
      <c r="A31" s="47" t="s">
        <v>72</v>
      </c>
      <c r="B31" s="45"/>
      <c r="C31" s="45"/>
      <c r="D31" s="2"/>
      <c r="E31" s="22">
        <f>I27</f>
        <v>2260</v>
      </c>
      <c r="F31" s="4" t="s">
        <v>73</v>
      </c>
      <c r="G31" s="8"/>
      <c r="H31" s="46"/>
      <c r="J31" s="43"/>
    </row>
    <row r="32">
      <c r="A32" s="47" t="s">
        <v>74</v>
      </c>
      <c r="B32" s="45"/>
      <c r="C32" s="45"/>
      <c r="D32" s="2"/>
      <c r="E32" s="48">
        <f>E31-D27</f>
        <v>1605</v>
      </c>
      <c r="F32" s="4" t="s">
        <v>73</v>
      </c>
      <c r="G32" s="8"/>
      <c r="H32" s="46"/>
      <c r="J32" s="43"/>
    </row>
    <row r="33">
      <c r="A33" s="47" t="s">
        <v>75</v>
      </c>
      <c r="B33" s="45"/>
      <c r="C33" s="45"/>
      <c r="D33" s="2"/>
      <c r="E33" s="48">
        <f>E32-E27</f>
        <v>110</v>
      </c>
      <c r="F33" s="4" t="s">
        <v>73</v>
      </c>
      <c r="G33" s="8"/>
      <c r="H33" s="46"/>
      <c r="J33" s="43"/>
    </row>
    <row r="34">
      <c r="A34" s="47"/>
      <c r="B34" s="45"/>
      <c r="C34" s="45"/>
      <c r="D34" s="2"/>
      <c r="E34" s="4"/>
      <c r="F34" s="22"/>
      <c r="G34" s="11"/>
      <c r="H34" s="49"/>
      <c r="I34" s="20"/>
      <c r="J34" s="21"/>
    </row>
  </sheetData>
  <mergeCells count="24">
    <mergeCell ref="J5:J6"/>
    <mergeCell ref="J7:J9"/>
    <mergeCell ref="A14:J14"/>
    <mergeCell ref="J2:J4"/>
    <mergeCell ref="J10:J11"/>
    <mergeCell ref="I27:J27"/>
    <mergeCell ref="H29:J34"/>
    <mergeCell ref="A1:B1"/>
    <mergeCell ref="A2:A6"/>
    <mergeCell ref="B2:B4"/>
    <mergeCell ref="B5:B6"/>
    <mergeCell ref="A7:A11"/>
    <mergeCell ref="B7:B9"/>
    <mergeCell ref="B10:B11"/>
    <mergeCell ref="A32:D32"/>
    <mergeCell ref="A33:D33"/>
    <mergeCell ref="A16:A17"/>
    <mergeCell ref="A18:A26"/>
    <mergeCell ref="A27:C27"/>
    <mergeCell ref="A29:D29"/>
    <mergeCell ref="G29:G34"/>
    <mergeCell ref="A30:D30"/>
    <mergeCell ref="A31:D31"/>
    <mergeCell ref="A34:D34"/>
  </mergeCells>
  <drawing r:id="rId1"/>
</worksheet>
</file>